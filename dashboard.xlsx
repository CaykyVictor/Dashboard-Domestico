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adcruzeirodosul-my.sharepoint.com/personal/cayky_victor_cs_cruzeirodosul_edu_br/Documents/"/>
    </mc:Choice>
  </mc:AlternateContent>
  <xr:revisionPtr revIDLastSave="0" documentId="8_{F101DF8B-766F-4280-A7A1-22FE936890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çamento_Março" sheetId="1" r:id="rId1"/>
    <sheet name="Orçamento_Abril" sheetId="2" r:id="rId2"/>
    <sheet name="Total Geral_Trimestral" sheetId="3" r:id="rId3"/>
  </sheets>
  <definedNames>
    <definedName name="_xlnm._FilterDatabase" localSheetId="2" hidden="1">'Total Geral_Trimestral'!$A$1:$F$9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K17" i="1"/>
  <c r="C26" i="1" s="1"/>
  <c r="B9" i="3"/>
  <c r="B6" i="3"/>
  <c r="Q17" i="2"/>
  <c r="O17" i="2"/>
  <c r="M17" i="2"/>
  <c r="I17" i="2"/>
  <c r="G17" i="2"/>
  <c r="E17" i="2"/>
  <c r="C7" i="3" s="1"/>
  <c r="C17" i="2"/>
  <c r="C6" i="3" s="1"/>
  <c r="C10" i="3" s="1"/>
  <c r="C3" i="2"/>
  <c r="C4" i="2" s="1"/>
  <c r="Q17" i="1"/>
  <c r="O17" i="1"/>
  <c r="M17" i="1"/>
  <c r="I17" i="1"/>
  <c r="G17" i="1"/>
  <c r="C24" i="1" s="1"/>
  <c r="E17" i="1"/>
  <c r="C3" i="1" s="1"/>
  <c r="B7" i="3" l="1"/>
  <c r="C23" i="1"/>
  <c r="C28" i="1"/>
  <c r="B5" i="3"/>
  <c r="C27" i="1"/>
  <c r="B3" i="3"/>
  <c r="C25" i="1"/>
  <c r="B8" i="3"/>
  <c r="C29" i="1"/>
  <c r="B4" i="3"/>
  <c r="B2" i="3"/>
  <c r="F2" i="3" s="1"/>
  <c r="E7" i="3"/>
  <c r="F7" i="3"/>
  <c r="E6" i="3"/>
  <c r="F6" i="3"/>
  <c r="F8" i="3"/>
  <c r="E8" i="3"/>
  <c r="F3" i="3"/>
  <c r="E3" i="3"/>
  <c r="F4" i="3"/>
  <c r="E4" i="3"/>
  <c r="F9" i="3"/>
  <c r="E9" i="3"/>
  <c r="F5" i="3"/>
  <c r="E5" i="3"/>
  <c r="E2" i="3"/>
  <c r="B10" i="3"/>
  <c r="E10" i="3" s="1"/>
  <c r="C4" i="1"/>
  <c r="F12" i="3" l="1"/>
  <c r="F11" i="3"/>
  <c r="F10" i="3"/>
</calcChain>
</file>

<file path=xl/sharedStrings.xml><?xml version="1.0" encoding="utf-8"?>
<sst xmlns="http://schemas.openxmlformats.org/spreadsheetml/2006/main" count="148" uniqueCount="56">
  <si>
    <t>ORÇAMENTO DOMÉSTICO/JANEIRO</t>
  </si>
  <si>
    <t>RENDA FAMILIAR</t>
  </si>
  <si>
    <t>GASTOS TOTAIS</t>
  </si>
  <si>
    <t>SALDO DO MÊS</t>
  </si>
  <si>
    <t>Moradia</t>
  </si>
  <si>
    <t>Saúde</t>
  </si>
  <si>
    <t>Alimentação</t>
  </si>
  <si>
    <t>Transporte</t>
  </si>
  <si>
    <t>Vestuário</t>
  </si>
  <si>
    <t>Educação</t>
  </si>
  <si>
    <t>Lazer</t>
  </si>
  <si>
    <t>Investimentos</t>
  </si>
  <si>
    <t>Custos</t>
  </si>
  <si>
    <t>Aluguel</t>
  </si>
  <si>
    <t>Remédios</t>
  </si>
  <si>
    <t>Supermercado</t>
  </si>
  <si>
    <t>Transporte público</t>
  </si>
  <si>
    <t>Roupas</t>
  </si>
  <si>
    <t>Mensalidade/Universidade</t>
  </si>
  <si>
    <t>Passeios</t>
  </si>
  <si>
    <t>CDI</t>
  </si>
  <si>
    <t>Condomínio</t>
  </si>
  <si>
    <t>Plano de saúde</t>
  </si>
  <si>
    <t>Feira</t>
  </si>
  <si>
    <t>Carro/Combustível</t>
  </si>
  <si>
    <t>Calçados</t>
  </si>
  <si>
    <t>Kumon/Inglês</t>
  </si>
  <si>
    <t>Viagens</t>
  </si>
  <si>
    <t>Tesouro Direto</t>
  </si>
  <si>
    <t>Celular</t>
  </si>
  <si>
    <t>Consulta médica</t>
  </si>
  <si>
    <t>Açougue</t>
  </si>
  <si>
    <t>IPVA</t>
  </si>
  <si>
    <t>Mouse 4/6</t>
  </si>
  <si>
    <t>Luz</t>
  </si>
  <si>
    <t>Exame</t>
  </si>
  <si>
    <t>Almoço</t>
  </si>
  <si>
    <t>Prova da Habilitação</t>
  </si>
  <si>
    <t>Gás</t>
  </si>
  <si>
    <t>Dentista</t>
  </si>
  <si>
    <t>Água/esgoto</t>
  </si>
  <si>
    <t>Produtos de Higiene Pessoal</t>
  </si>
  <si>
    <t>Internet</t>
  </si>
  <si>
    <t>INSS</t>
  </si>
  <si>
    <t>Serviços de Streaming</t>
  </si>
  <si>
    <t>Academia</t>
  </si>
  <si>
    <t>IPTU</t>
  </si>
  <si>
    <t>SUBTOTAL</t>
  </si>
  <si>
    <t>CUSTO</t>
  </si>
  <si>
    <t>Material Escolar</t>
  </si>
  <si>
    <t>Categoria</t>
  </si>
  <si>
    <t>Março</t>
  </si>
  <si>
    <t>Abril</t>
  </si>
  <si>
    <t>Maio</t>
  </si>
  <si>
    <t>TOTAL GERAL</t>
  </si>
  <si>
    <t>MÉDIA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</si>
</sst>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2">
    <font>
      <sz val="11"/>
      <color theme="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Arial"/>
    </font>
    <font>
      <sz val="12"/>
      <color rgb="FF000000"/>
      <name val="Arial"/>
    </font>
    <font>
      <b/>
      <sz val="12"/>
      <color theme="9"/>
      <name val="Arial"/>
    </font>
    <font>
      <u/>
      <sz val="12"/>
      <color theme="1"/>
      <name val="Arial"/>
    </font>
    <font>
      <b/>
      <sz val="11"/>
      <color theme="1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5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2" fontId="1" fillId="0" borderId="1" xfId="0" applyNumberFormat="1" applyFont="1" applyBorder="1"/>
    <xf numFmtId="44" fontId="0" fillId="0" borderId="0" xfId="0" applyNumberFormat="1"/>
    <xf numFmtId="0" fontId="4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/>
    <xf numFmtId="164" fontId="7" fillId="0" borderId="1" xfId="0" applyNumberFormat="1" applyFont="1" applyBorder="1"/>
    <xf numFmtId="164" fontId="6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0" borderId="1" xfId="0" applyFont="1" applyBorder="1"/>
    <xf numFmtId="0" fontId="2" fillId="4" borderId="1" xfId="0" applyFont="1" applyFill="1" applyBorder="1"/>
    <xf numFmtId="0" fontId="2" fillId="4" borderId="2" xfId="0" applyFont="1" applyFill="1" applyBorder="1" applyAlignment="1">
      <alignment horizontal="center"/>
    </xf>
    <xf numFmtId="164" fontId="1" fillId="0" borderId="2" xfId="0" applyNumberFormat="1" applyFont="1" applyBorder="1"/>
    <xf numFmtId="164" fontId="2" fillId="4" borderId="1" xfId="0" applyNumberFormat="1" applyFont="1" applyFill="1" applyBorder="1"/>
    <xf numFmtId="164" fontId="2" fillId="4" borderId="2" xfId="0" applyNumberFormat="1" applyFont="1" applyFill="1" applyBorder="1"/>
    <xf numFmtId="164" fontId="10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164" fontId="10" fillId="2" borderId="1" xfId="0" applyNumberFormat="1" applyFont="1" applyFill="1" applyBorder="1"/>
    <xf numFmtId="0" fontId="11" fillId="0" borderId="0" xfId="0" applyFont="1"/>
    <xf numFmtId="164" fontId="2" fillId="2" borderId="1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2" fillId="4" borderId="2" xfId="0" applyFont="1" applyFill="1" applyBorder="1"/>
    <xf numFmtId="164" fontId="9" fillId="0" borderId="2" xfId="0" applyNumberFormat="1" applyFont="1" applyBorder="1"/>
    <xf numFmtId="164" fontId="1" fillId="0" borderId="0" xfId="0" applyNumberFormat="1" applyFont="1"/>
    <xf numFmtId="164" fontId="1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/>
    <xf numFmtId="2" fontId="3" fillId="3" borderId="2" xfId="0" applyNumberFormat="1" applyFont="1" applyFill="1" applyBorder="1" applyAlignment="1">
      <alignment horizontal="right"/>
    </xf>
    <xf numFmtId="2" fontId="3" fillId="3" borderId="4" xfId="0" applyNumberFormat="1" applyFont="1" applyFill="1" applyBorder="1" applyAlignment="1">
      <alignment horizontal="right"/>
    </xf>
    <xf numFmtId="2" fontId="3" fillId="3" borderId="3" xfId="0" applyNumberFormat="1" applyFont="1" applyFill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2" borderId="2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</cellXfs>
  <cellStyles count="1">
    <cellStyle name="Normal" xfId="0" builtinId="0"/>
  </cellStyles>
  <dxfs count="4">
    <dxf>
      <font>
        <color theme="4"/>
      </font>
      <fill>
        <patternFill patternType="solid">
          <bgColor theme="0"/>
        </patternFill>
      </fill>
    </dxf>
    <dxf>
      <font>
        <color rgb="FF9C0006"/>
      </font>
    </dxf>
    <dxf>
      <font>
        <color theme="4"/>
      </font>
      <fill>
        <patternFill patternType="solid">
          <bgColor theme="0"/>
        </patternFill>
      </fill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Orçamento Doméstico Março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Orçamento_Março!$C$21</c:f>
              <c:strCache>
                <c:ptCount val="1"/>
                <c:pt idx="0">
                  <c:v>CUSTO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Orçamento_Março!$B$22:$B$29</c:f>
              <c:strCache>
                <c:ptCount val="8"/>
                <c:pt idx="0">
                  <c:v>Moradia</c:v>
                </c:pt>
                <c:pt idx="1">
                  <c:v>Saúde</c:v>
                </c:pt>
                <c:pt idx="2">
                  <c:v>Alimentação</c:v>
                </c:pt>
                <c:pt idx="3">
                  <c:v>Transporte</c:v>
                </c:pt>
                <c:pt idx="4">
                  <c:v>Vestuário</c:v>
                </c:pt>
                <c:pt idx="5">
                  <c:v>Educação</c:v>
                </c:pt>
                <c:pt idx="6">
                  <c:v>Lazer</c:v>
                </c:pt>
                <c:pt idx="7">
                  <c:v>Investimentos</c:v>
                </c:pt>
              </c:strCache>
            </c:strRef>
          </c:cat>
          <c:val>
            <c:numRef>
              <c:f>Orçamento_Março!$C$22:$C$29</c:f>
              <c:numCache>
                <c:formatCode>"$"#,##0.00</c:formatCode>
                <c:ptCount val="8"/>
                <c:pt idx="0">
                  <c:v>0</c:v>
                </c:pt>
                <c:pt idx="1">
                  <c:v>364.95</c:v>
                </c:pt>
                <c:pt idx="2">
                  <c:v>53.75</c:v>
                </c:pt>
                <c:pt idx="3">
                  <c:v>250</c:v>
                </c:pt>
                <c:pt idx="4">
                  <c:v>0</c:v>
                </c:pt>
                <c:pt idx="5">
                  <c:v>696</c:v>
                </c:pt>
                <c:pt idx="6">
                  <c:v>119.8</c:v>
                </c:pt>
                <c:pt idx="7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F-4DC8-800D-2F889D932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3215240"/>
        <c:axId val="1408562184"/>
      </c:barChart>
      <c:catAx>
        <c:axId val="161321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62184"/>
        <c:crosses val="autoZero"/>
        <c:auto val="1"/>
        <c:lblAlgn val="ctr"/>
        <c:lblOffset val="100"/>
        <c:noMultiLvlLbl val="0"/>
      </c:catAx>
      <c:valAx>
        <c:axId val="140856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1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Orçamento Doméstico Março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CF-4CD2-A3C2-F5F1163940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CF-4CD2-A3C2-F5F116394000}"/>
              </c:ext>
            </c:extLst>
          </c:dPt>
          <c:cat>
            <c:strRef>
              <c:f>Orçamento_Março!$B$3:$B$4</c:f>
              <c:strCache>
                <c:ptCount val="2"/>
                <c:pt idx="0">
                  <c:v>GASTOS TOTAIS</c:v>
                </c:pt>
                <c:pt idx="1">
                  <c:v>SALDO DO MÊS</c:v>
                </c:pt>
              </c:strCache>
            </c:strRef>
          </c:cat>
          <c:val>
            <c:numRef>
              <c:f>Orçamento_Março!$C$3:$C$4</c:f>
              <c:numCache>
                <c:formatCode>"$"#,##0.00</c:formatCode>
                <c:ptCount val="2"/>
                <c:pt idx="0">
                  <c:v>1764.5</c:v>
                </c:pt>
                <c:pt idx="1">
                  <c:v>635.5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9-4414-9249-54399D958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450273</xdr:colOff>
      <xdr:row>19</xdr:row>
      <xdr:rowOff>186171</xdr:rowOff>
    </xdr:from>
    <xdr:to>
      <xdr:col>7</xdr:col>
      <xdr:colOff>180109</xdr:colOff>
      <xdr:row>33</xdr:row>
      <xdr:rowOff>106507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0170FD-3D4D-8C5E-11A1-23C4DA3FF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20</xdr:row>
      <xdr:rowOff>38100</xdr:rowOff>
    </xdr:from>
    <xdr:to>
      <xdr:col>11</xdr:col>
      <xdr:colOff>78797</xdr:colOff>
      <xdr:row>31</xdr:row>
      <xdr:rowOff>34636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714A25E-D4E5-3482-36F1-3E1BAEA4174A}"/>
            </a:ext>
            <a:ext uri="{147F2762-F138-4A5C-976F-8EAC2B608ADB}">
              <a16:predDERef xmlns:a16="http://schemas.microsoft.com/office/drawing/2014/main" pred="{D00170FD-3D4D-8C5E-11A1-23C4DA3FF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topLeftCell="C3" zoomScaleNormal="100" workbookViewId="0">
      <selection activeCell="C3" sqref="C3"/>
    </sheetView>
  </sheetViews>
  <sheetFormatPr defaultRowHeight="15"/>
  <cols>
    <col min="1" max="1" width="3.85546875" customWidth="1"/>
    <col min="2" max="2" width="24.7109375" bestFit="1" customWidth="1"/>
    <col min="3" max="3" width="13.140625" customWidth="1"/>
    <col min="4" max="4" width="31.28515625" bestFit="1" customWidth="1"/>
    <col min="5" max="5" width="13.28515625" bestFit="1" customWidth="1"/>
    <col min="6" max="6" width="16.42578125" bestFit="1" customWidth="1"/>
    <col min="7" max="7" width="12" bestFit="1" customWidth="1"/>
    <col min="8" max="8" width="22.85546875" bestFit="1" customWidth="1"/>
    <col min="9" max="9" width="12" bestFit="1" customWidth="1"/>
    <col min="10" max="10" width="13.85546875" bestFit="1" customWidth="1"/>
    <col min="12" max="12" width="28.85546875" bestFit="1" customWidth="1"/>
    <col min="13" max="13" width="13.28515625" bestFit="1" customWidth="1"/>
    <col min="14" max="14" width="13.85546875" bestFit="1" customWidth="1"/>
    <col min="15" max="15" width="11.28515625" bestFit="1" customWidth="1"/>
    <col min="16" max="16" width="17" bestFit="1" customWidth="1"/>
    <col min="17" max="17" width="13.28515625" bestFit="1" customWidth="1"/>
  </cols>
  <sheetData>
    <row r="1" spans="1:17" ht="15.75">
      <c r="A1" s="49" t="s">
        <v>0</v>
      </c>
      <c r="B1" s="50"/>
      <c r="C1" s="50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2"/>
    </row>
    <row r="2" spans="1:17" ht="15.75">
      <c r="A2" s="9"/>
      <c r="B2" s="17" t="s">
        <v>1</v>
      </c>
      <c r="C2" s="20">
        <v>2400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 spans="1:17" ht="15.75">
      <c r="A3" s="9"/>
      <c r="B3" s="17" t="s">
        <v>2</v>
      </c>
      <c r="C3" s="19">
        <f>SUM(C17+E17+G17+I17+K17+M17+O17+Q17)</f>
        <v>1764.5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.75">
      <c r="A4" s="9"/>
      <c r="B4" s="17" t="s">
        <v>3</v>
      </c>
      <c r="C4" s="19">
        <f>C2-C3</f>
        <v>635.5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1:17" ht="15.75">
      <c r="A5" s="9"/>
      <c r="B5" s="18"/>
      <c r="C5" s="18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</row>
    <row r="6" spans="1:17" ht="15.75">
      <c r="A6" s="57" t="s">
        <v>4</v>
      </c>
      <c r="B6" s="58"/>
      <c r="C6" s="59"/>
      <c r="D6" s="60" t="s">
        <v>5</v>
      </c>
      <c r="E6" s="60"/>
      <c r="F6" s="61" t="s">
        <v>6</v>
      </c>
      <c r="G6" s="61"/>
      <c r="H6" s="60" t="s">
        <v>7</v>
      </c>
      <c r="I6" s="60"/>
      <c r="J6" s="61" t="s">
        <v>8</v>
      </c>
      <c r="K6" s="61"/>
      <c r="L6" s="60" t="s">
        <v>9</v>
      </c>
      <c r="M6" s="60"/>
      <c r="N6" s="61" t="s">
        <v>10</v>
      </c>
      <c r="O6" s="61"/>
      <c r="P6" s="60" t="s">
        <v>11</v>
      </c>
      <c r="Q6" s="60"/>
    </row>
    <row r="7" spans="1:17" ht="15.75">
      <c r="A7" s="46" t="s">
        <v>12</v>
      </c>
      <c r="B7" s="47"/>
      <c r="C7" s="48"/>
      <c r="D7" s="53" t="s">
        <v>12</v>
      </c>
      <c r="E7" s="54"/>
      <c r="F7" s="55" t="s">
        <v>12</v>
      </c>
      <c r="G7" s="56"/>
      <c r="H7" s="53" t="s">
        <v>12</v>
      </c>
      <c r="I7" s="54"/>
      <c r="J7" s="55" t="s">
        <v>12</v>
      </c>
      <c r="K7" s="56"/>
      <c r="L7" s="53" t="s">
        <v>12</v>
      </c>
      <c r="M7" s="54"/>
      <c r="N7" s="55" t="s">
        <v>12</v>
      </c>
      <c r="O7" s="56"/>
      <c r="P7" s="53" t="s">
        <v>12</v>
      </c>
      <c r="Q7" s="54"/>
    </row>
    <row r="8" spans="1:17" ht="15.75">
      <c r="A8" s="2">
        <v>1</v>
      </c>
      <c r="B8" s="3" t="s">
        <v>13</v>
      </c>
      <c r="C8" s="43"/>
      <c r="D8" s="3" t="s">
        <v>14</v>
      </c>
      <c r="E8" s="39"/>
      <c r="F8" s="3" t="s">
        <v>15</v>
      </c>
      <c r="G8" s="39"/>
      <c r="H8" s="6" t="s">
        <v>16</v>
      </c>
      <c r="I8" s="39">
        <v>50</v>
      </c>
      <c r="J8" s="3" t="s">
        <v>17</v>
      </c>
      <c r="K8" s="42"/>
      <c r="L8" s="3" t="s">
        <v>18</v>
      </c>
      <c r="M8" s="39">
        <v>381</v>
      </c>
      <c r="N8" s="3" t="s">
        <v>19</v>
      </c>
      <c r="O8" s="39"/>
      <c r="P8" s="3" t="s">
        <v>20</v>
      </c>
      <c r="Q8" s="39">
        <v>200</v>
      </c>
    </row>
    <row r="9" spans="1:17" ht="15.75">
      <c r="A9" s="2">
        <v>2</v>
      </c>
      <c r="B9" s="3" t="s">
        <v>21</v>
      </c>
      <c r="C9" s="43"/>
      <c r="D9" s="3" t="s">
        <v>22</v>
      </c>
      <c r="E9" s="39">
        <v>85</v>
      </c>
      <c r="F9" s="3" t="s">
        <v>23</v>
      </c>
      <c r="G9" s="39"/>
      <c r="H9" s="3" t="s">
        <v>24</v>
      </c>
      <c r="I9" s="39"/>
      <c r="J9" s="3" t="s">
        <v>25</v>
      </c>
      <c r="K9" s="42"/>
      <c r="L9" s="3" t="s">
        <v>26</v>
      </c>
      <c r="M9" s="39">
        <v>315</v>
      </c>
      <c r="N9" s="3" t="s">
        <v>27</v>
      </c>
      <c r="O9" s="40"/>
      <c r="P9" s="3" t="s">
        <v>28</v>
      </c>
      <c r="Q9" s="39">
        <v>80</v>
      </c>
    </row>
    <row r="10" spans="1:17" ht="15.75">
      <c r="A10" s="2">
        <v>3</v>
      </c>
      <c r="B10" s="3" t="s">
        <v>29</v>
      </c>
      <c r="C10" s="43"/>
      <c r="D10" s="3" t="s">
        <v>30</v>
      </c>
      <c r="E10" s="39"/>
      <c r="F10" s="3" t="s">
        <v>31</v>
      </c>
      <c r="G10" s="39"/>
      <c r="H10" s="3" t="s">
        <v>32</v>
      </c>
      <c r="I10" s="39"/>
      <c r="J10" s="5"/>
      <c r="K10" s="42"/>
      <c r="L10" s="3"/>
      <c r="M10" s="39"/>
      <c r="N10" s="3" t="s">
        <v>33</v>
      </c>
      <c r="O10" s="39">
        <v>119.8</v>
      </c>
      <c r="P10" s="4"/>
      <c r="Q10" s="39"/>
    </row>
    <row r="11" spans="1:17" ht="15.75">
      <c r="A11" s="2">
        <v>4</v>
      </c>
      <c r="B11" s="3" t="s">
        <v>34</v>
      </c>
      <c r="C11" s="43"/>
      <c r="D11" s="3" t="s">
        <v>35</v>
      </c>
      <c r="E11" s="39"/>
      <c r="F11" s="3" t="s">
        <v>36</v>
      </c>
      <c r="G11" s="39">
        <v>53.75</v>
      </c>
      <c r="H11" s="3" t="s">
        <v>37</v>
      </c>
      <c r="I11" s="39">
        <v>200</v>
      </c>
      <c r="J11" s="8"/>
      <c r="K11" s="42"/>
      <c r="L11" s="8"/>
      <c r="M11" s="39"/>
      <c r="N11" s="8"/>
      <c r="O11" s="39"/>
      <c r="P11" s="4"/>
      <c r="Q11" s="39"/>
    </row>
    <row r="12" spans="1:17" ht="15.75">
      <c r="A12" s="2">
        <v>5</v>
      </c>
      <c r="B12" s="3" t="s">
        <v>38</v>
      </c>
      <c r="C12" s="43"/>
      <c r="D12" s="3" t="s">
        <v>39</v>
      </c>
      <c r="E12" s="39"/>
      <c r="F12" s="8"/>
      <c r="G12" s="39"/>
      <c r="H12" s="8"/>
      <c r="I12" s="39"/>
      <c r="J12" s="8"/>
      <c r="K12" s="42"/>
      <c r="L12" s="8"/>
      <c r="M12" s="39"/>
      <c r="N12" s="8"/>
      <c r="O12" s="39"/>
      <c r="P12" s="4"/>
      <c r="Q12" s="39"/>
    </row>
    <row r="13" spans="1:17" ht="15.75">
      <c r="A13" s="2">
        <v>6</v>
      </c>
      <c r="B13" s="3" t="s">
        <v>40</v>
      </c>
      <c r="C13" s="43"/>
      <c r="D13" s="3" t="s">
        <v>41</v>
      </c>
      <c r="E13" s="39"/>
      <c r="F13" s="8"/>
      <c r="G13" s="39"/>
      <c r="H13" s="8"/>
      <c r="I13" s="39"/>
      <c r="J13" s="8"/>
      <c r="K13" s="42"/>
      <c r="L13" s="8"/>
      <c r="M13" s="39"/>
      <c r="N13" s="8"/>
      <c r="O13" s="39"/>
      <c r="P13" s="4"/>
      <c r="Q13" s="39"/>
    </row>
    <row r="14" spans="1:17" ht="15.75">
      <c r="A14" s="2">
        <v>7</v>
      </c>
      <c r="B14" s="3" t="s">
        <v>42</v>
      </c>
      <c r="C14" s="43"/>
      <c r="D14" s="3" t="s">
        <v>43</v>
      </c>
      <c r="E14" s="39">
        <v>179.95</v>
      </c>
      <c r="F14" s="8"/>
      <c r="G14" s="39"/>
      <c r="H14" s="8"/>
      <c r="I14" s="39"/>
      <c r="J14" s="8"/>
      <c r="K14" s="42"/>
      <c r="L14" s="8"/>
      <c r="M14" s="39"/>
      <c r="N14" s="8"/>
      <c r="O14" s="39"/>
      <c r="P14" s="4"/>
      <c r="Q14" s="39"/>
    </row>
    <row r="15" spans="1:17" ht="15.75">
      <c r="A15" s="2">
        <v>8</v>
      </c>
      <c r="B15" s="3" t="s">
        <v>44</v>
      </c>
      <c r="C15" s="43"/>
      <c r="D15" s="3" t="s">
        <v>45</v>
      </c>
      <c r="E15" s="39">
        <v>100</v>
      </c>
      <c r="F15" s="8"/>
      <c r="G15" s="39"/>
      <c r="H15" s="8"/>
      <c r="I15" s="39"/>
      <c r="J15" s="8"/>
      <c r="K15" s="42"/>
      <c r="L15" s="8"/>
      <c r="M15" s="39"/>
      <c r="N15" s="8"/>
      <c r="O15" s="39"/>
      <c r="P15" s="4"/>
      <c r="Q15" s="39"/>
    </row>
    <row r="16" spans="1:17" ht="15.75">
      <c r="A16" s="2">
        <v>9</v>
      </c>
      <c r="B16" s="3" t="s">
        <v>46</v>
      </c>
      <c r="C16" s="43"/>
      <c r="D16" s="3"/>
      <c r="E16" s="39"/>
      <c r="F16" s="8"/>
      <c r="G16" s="39"/>
      <c r="H16" s="8"/>
      <c r="I16" s="39"/>
      <c r="J16" s="8"/>
      <c r="K16" s="42"/>
      <c r="L16" s="8"/>
      <c r="M16" s="39"/>
      <c r="N16" s="8"/>
      <c r="O16" s="39"/>
      <c r="P16" s="4"/>
      <c r="Q16" s="39"/>
    </row>
    <row r="17" spans="1:17" ht="15.75">
      <c r="A17" s="4"/>
      <c r="B17" s="5" t="s">
        <v>47</v>
      </c>
      <c r="C17" s="44"/>
      <c r="D17" s="5" t="s">
        <v>47</v>
      </c>
      <c r="E17" s="28">
        <f>SUM(E9:E16)</f>
        <v>364.95</v>
      </c>
      <c r="F17" s="5" t="s">
        <v>47</v>
      </c>
      <c r="G17" s="41">
        <f>SUM(G8:G16)</f>
        <v>53.75</v>
      </c>
      <c r="H17" s="5" t="s">
        <v>47</v>
      </c>
      <c r="I17" s="41">
        <f>SUM(I8:I16)</f>
        <v>250</v>
      </c>
      <c r="J17" s="5" t="s">
        <v>47</v>
      </c>
      <c r="K17" s="28">
        <f>SUM(K8:K16)</f>
        <v>0</v>
      </c>
      <c r="L17" s="5" t="s">
        <v>47</v>
      </c>
      <c r="M17" s="41">
        <f>SUM(M8:M16)</f>
        <v>696</v>
      </c>
      <c r="N17" s="5" t="s">
        <v>47</v>
      </c>
      <c r="O17" s="41">
        <f>SUM(O9:O16)</f>
        <v>119.8</v>
      </c>
      <c r="P17" s="5" t="s">
        <v>47</v>
      </c>
      <c r="Q17" s="41">
        <f>SUM(Q8:Q16)</f>
        <v>280</v>
      </c>
    </row>
    <row r="21" spans="1:17" ht="15.75">
      <c r="B21" s="21" t="s">
        <v>2</v>
      </c>
      <c r="C21" s="21" t="s">
        <v>48</v>
      </c>
    </row>
    <row r="22" spans="1:17" ht="15.75">
      <c r="B22" s="8" t="s">
        <v>4</v>
      </c>
      <c r="C22" s="45">
        <f>C17</f>
        <v>0</v>
      </c>
    </row>
    <row r="23" spans="1:17" ht="15.75">
      <c r="B23" s="8" t="s">
        <v>5</v>
      </c>
      <c r="C23" s="45">
        <f>E17</f>
        <v>364.95</v>
      </c>
    </row>
    <row r="24" spans="1:17" ht="15.75">
      <c r="B24" s="8" t="s">
        <v>6</v>
      </c>
      <c r="C24" s="45">
        <f>G17</f>
        <v>53.75</v>
      </c>
      <c r="E24" s="1"/>
    </row>
    <row r="25" spans="1:17" ht="15.75">
      <c r="B25" s="8" t="s">
        <v>7</v>
      </c>
      <c r="C25" s="45">
        <f>I17</f>
        <v>250</v>
      </c>
    </row>
    <row r="26" spans="1:17" ht="15.75">
      <c r="B26" s="8" t="s">
        <v>8</v>
      </c>
      <c r="C26" s="45">
        <f>K17</f>
        <v>0</v>
      </c>
    </row>
    <row r="27" spans="1:17" ht="15.75">
      <c r="B27" s="8" t="s">
        <v>9</v>
      </c>
      <c r="C27" s="45">
        <f>M17</f>
        <v>696</v>
      </c>
    </row>
    <row r="28" spans="1:17" ht="15.75">
      <c r="B28" s="8" t="s">
        <v>10</v>
      </c>
      <c r="C28" s="45">
        <f>O17</f>
        <v>119.8</v>
      </c>
      <c r="D28" s="1"/>
    </row>
    <row r="29" spans="1:17" ht="15.75">
      <c r="B29" s="8" t="s">
        <v>11</v>
      </c>
      <c r="C29" s="45">
        <f>Q17</f>
        <v>280</v>
      </c>
      <c r="G29" s="7"/>
    </row>
  </sheetData>
  <sortState xmlns:xlrd2="http://schemas.microsoft.com/office/spreadsheetml/2017/richdata2" ref="A8:C16">
    <sortCondition ref="A8:A16"/>
  </sortState>
  <mergeCells count="17">
    <mergeCell ref="P6:Q6"/>
    <mergeCell ref="A7:C7"/>
    <mergeCell ref="A1:Q1"/>
    <mergeCell ref="D7:E7"/>
    <mergeCell ref="F7:G7"/>
    <mergeCell ref="H7:I7"/>
    <mergeCell ref="J7:K7"/>
    <mergeCell ref="L7:M7"/>
    <mergeCell ref="A6:C6"/>
    <mergeCell ref="D6:E6"/>
    <mergeCell ref="F6:G6"/>
    <mergeCell ref="H6:I6"/>
    <mergeCell ref="J6:K6"/>
    <mergeCell ref="L6:M6"/>
    <mergeCell ref="N7:O7"/>
    <mergeCell ref="P7:Q7"/>
    <mergeCell ref="N6:O6"/>
  </mergeCells>
  <conditionalFormatting sqref="C4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A2B0-7D1F-44A1-88A8-E43147928EB7}">
  <dimension ref="A1:Q29"/>
  <sheetViews>
    <sheetView workbookViewId="0">
      <selection activeCell="D24" sqref="D24"/>
    </sheetView>
  </sheetViews>
  <sheetFormatPr defaultRowHeight="15"/>
  <cols>
    <col min="1" max="1" width="3.85546875" customWidth="1"/>
    <col min="2" max="2" width="24.7109375" bestFit="1" customWidth="1"/>
    <col min="3" max="3" width="13.140625" customWidth="1"/>
    <col min="4" max="4" width="31.28515625" bestFit="1" customWidth="1"/>
    <col min="5" max="5" width="11.28515625" bestFit="1" customWidth="1"/>
    <col min="6" max="6" width="16.42578125" bestFit="1" customWidth="1"/>
    <col min="7" max="7" width="11.28515625" bestFit="1" customWidth="1"/>
    <col min="8" max="8" width="20.5703125" bestFit="1" customWidth="1"/>
    <col min="9" max="9" width="10" bestFit="1" customWidth="1"/>
    <col min="10" max="10" width="13.85546875" bestFit="1" customWidth="1"/>
    <col min="12" max="12" width="28.85546875" bestFit="1" customWidth="1"/>
    <col min="13" max="13" width="11.28515625" bestFit="1" customWidth="1"/>
    <col min="14" max="14" width="13.85546875" bestFit="1" customWidth="1"/>
    <col min="15" max="15" width="11.28515625" bestFit="1" customWidth="1"/>
    <col min="16" max="16" width="17" bestFit="1" customWidth="1"/>
    <col min="17" max="17" width="11.28515625" bestFit="1" customWidth="1"/>
  </cols>
  <sheetData>
    <row r="1" spans="1:17" ht="15.75">
      <c r="A1" s="62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63"/>
    </row>
    <row r="2" spans="1:17" ht="15.75">
      <c r="A2" s="34"/>
      <c r="B2" s="17" t="s">
        <v>1</v>
      </c>
      <c r="C2" s="20">
        <v>2400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15.75">
      <c r="A3" s="34"/>
      <c r="B3" s="17" t="s">
        <v>2</v>
      </c>
      <c r="C3" s="19">
        <f>SUM(C17+E17+G17+I17+M17+O17+Q17)</f>
        <v>1323.7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ht="15.75">
      <c r="A4" s="34"/>
      <c r="B4" s="17" t="s">
        <v>3</v>
      </c>
      <c r="C4" s="19">
        <f>C2-C3</f>
        <v>1076.3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ht="15.75">
      <c r="A5" s="33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35"/>
    </row>
    <row r="6" spans="1:17" ht="15.75">
      <c r="A6" s="57" t="s">
        <v>4</v>
      </c>
      <c r="B6" s="58"/>
      <c r="C6" s="59"/>
      <c r="D6" s="60" t="s">
        <v>5</v>
      </c>
      <c r="E6" s="60"/>
      <c r="F6" s="61" t="s">
        <v>6</v>
      </c>
      <c r="G6" s="61"/>
      <c r="H6" s="60" t="s">
        <v>7</v>
      </c>
      <c r="I6" s="60"/>
      <c r="J6" s="61" t="s">
        <v>8</v>
      </c>
      <c r="K6" s="61"/>
      <c r="L6" s="60" t="s">
        <v>9</v>
      </c>
      <c r="M6" s="60"/>
      <c r="N6" s="61" t="s">
        <v>10</v>
      </c>
      <c r="O6" s="61"/>
      <c r="P6" s="60" t="s">
        <v>11</v>
      </c>
      <c r="Q6" s="60"/>
    </row>
    <row r="7" spans="1:17" ht="15.75">
      <c r="A7" s="46" t="s">
        <v>12</v>
      </c>
      <c r="B7" s="47"/>
      <c r="C7" s="48"/>
      <c r="D7" s="53" t="s">
        <v>12</v>
      </c>
      <c r="E7" s="54"/>
      <c r="F7" s="55" t="s">
        <v>12</v>
      </c>
      <c r="G7" s="56"/>
      <c r="H7" s="53" t="s">
        <v>12</v>
      </c>
      <c r="I7" s="54"/>
      <c r="J7" s="55" t="s">
        <v>12</v>
      </c>
      <c r="K7" s="56"/>
      <c r="L7" s="53" t="s">
        <v>12</v>
      </c>
      <c r="M7" s="54"/>
      <c r="N7" s="55" t="s">
        <v>12</v>
      </c>
      <c r="O7" s="56"/>
      <c r="P7" s="53" t="s">
        <v>12</v>
      </c>
      <c r="Q7" s="54"/>
    </row>
    <row r="8" spans="1:17" ht="15.75">
      <c r="A8" s="2">
        <v>1</v>
      </c>
      <c r="B8" s="3" t="s">
        <v>13</v>
      </c>
      <c r="C8" s="12">
        <v>0</v>
      </c>
      <c r="D8" s="3" t="s">
        <v>14</v>
      </c>
      <c r="E8" s="13"/>
      <c r="F8" s="3" t="s">
        <v>15</v>
      </c>
      <c r="G8" s="14"/>
      <c r="H8" s="6" t="s">
        <v>16</v>
      </c>
      <c r="I8" s="14">
        <v>50</v>
      </c>
      <c r="J8" s="3" t="s">
        <v>17</v>
      </c>
      <c r="K8" s="16"/>
      <c r="L8" s="3" t="s">
        <v>18</v>
      </c>
      <c r="M8" s="14">
        <v>300</v>
      </c>
      <c r="N8" s="3" t="s">
        <v>19</v>
      </c>
      <c r="O8" s="14"/>
      <c r="P8" s="3" t="s">
        <v>20</v>
      </c>
      <c r="Q8" s="14">
        <v>200</v>
      </c>
    </row>
    <row r="9" spans="1:17" ht="15.75">
      <c r="A9" s="2">
        <v>2</v>
      </c>
      <c r="B9" s="3" t="s">
        <v>21</v>
      </c>
      <c r="C9" s="12">
        <v>0</v>
      </c>
      <c r="D9" s="3" t="s">
        <v>22</v>
      </c>
      <c r="E9" s="13">
        <v>85</v>
      </c>
      <c r="F9" s="3" t="s">
        <v>23</v>
      </c>
      <c r="G9" s="14"/>
      <c r="H9" s="3" t="s">
        <v>24</v>
      </c>
      <c r="I9" s="14"/>
      <c r="J9" s="3" t="s">
        <v>25</v>
      </c>
      <c r="K9" s="16"/>
      <c r="L9" s="3" t="s">
        <v>49</v>
      </c>
      <c r="M9" s="14"/>
      <c r="N9" s="3" t="s">
        <v>27</v>
      </c>
      <c r="O9" s="15"/>
      <c r="P9" s="3" t="s">
        <v>28</v>
      </c>
      <c r="Q9" s="14">
        <v>40</v>
      </c>
    </row>
    <row r="10" spans="1:17" ht="15.75">
      <c r="A10" s="2">
        <v>3</v>
      </c>
      <c r="B10" s="3" t="s">
        <v>29</v>
      </c>
      <c r="C10" s="12">
        <v>0</v>
      </c>
      <c r="D10" s="3" t="s">
        <v>30</v>
      </c>
      <c r="E10" s="13"/>
      <c r="F10" s="3" t="s">
        <v>31</v>
      </c>
      <c r="G10" s="14"/>
      <c r="H10" s="3" t="s">
        <v>32</v>
      </c>
      <c r="I10" s="14"/>
      <c r="J10" s="5"/>
      <c r="K10" s="16"/>
      <c r="L10" s="3" t="s">
        <v>26</v>
      </c>
      <c r="M10" s="14">
        <v>315</v>
      </c>
      <c r="N10" s="8"/>
      <c r="O10" s="14"/>
      <c r="P10" s="4"/>
      <c r="Q10" s="14"/>
    </row>
    <row r="11" spans="1:17" ht="15.75">
      <c r="A11" s="2">
        <v>4</v>
      </c>
      <c r="B11" s="3" t="s">
        <v>34</v>
      </c>
      <c r="C11" s="12">
        <v>0</v>
      </c>
      <c r="D11" s="3" t="s">
        <v>35</v>
      </c>
      <c r="E11" s="13"/>
      <c r="F11" s="3" t="s">
        <v>36</v>
      </c>
      <c r="G11" s="14">
        <v>53.75</v>
      </c>
      <c r="H11" s="8"/>
      <c r="I11" s="14"/>
      <c r="J11" s="8"/>
      <c r="K11" s="16"/>
      <c r="L11" s="8"/>
      <c r="M11" s="14"/>
      <c r="N11" s="8"/>
      <c r="O11" s="14"/>
      <c r="P11" s="4"/>
      <c r="Q11" s="14"/>
    </row>
    <row r="12" spans="1:17" ht="15.75">
      <c r="A12" s="2">
        <v>5</v>
      </c>
      <c r="B12" s="3" t="s">
        <v>38</v>
      </c>
      <c r="C12" s="12">
        <v>0</v>
      </c>
      <c r="D12" s="3" t="s">
        <v>39</v>
      </c>
      <c r="E12" s="13"/>
      <c r="F12" s="8"/>
      <c r="G12" s="14"/>
      <c r="H12" s="8"/>
      <c r="I12" s="14"/>
      <c r="J12" s="8"/>
      <c r="K12" s="16"/>
      <c r="L12" s="8"/>
      <c r="M12" s="14"/>
      <c r="N12" s="8"/>
      <c r="O12" s="14"/>
      <c r="P12" s="4"/>
      <c r="Q12" s="14"/>
    </row>
    <row r="13" spans="1:17" ht="15.75">
      <c r="A13" s="2">
        <v>6</v>
      </c>
      <c r="B13" s="3" t="s">
        <v>40</v>
      </c>
      <c r="C13" s="12">
        <v>0</v>
      </c>
      <c r="D13" s="3" t="s">
        <v>41</v>
      </c>
      <c r="E13" s="13"/>
      <c r="F13" s="8"/>
      <c r="G13" s="14"/>
      <c r="H13" s="8"/>
      <c r="I13" s="14"/>
      <c r="J13" s="8"/>
      <c r="K13" s="16"/>
      <c r="L13" s="8"/>
      <c r="M13" s="14"/>
      <c r="N13" s="8"/>
      <c r="O13" s="14"/>
      <c r="P13" s="4"/>
      <c r="Q13" s="14"/>
    </row>
    <row r="14" spans="1:17" ht="15.75">
      <c r="A14" s="2">
        <v>7</v>
      </c>
      <c r="B14" s="3" t="s">
        <v>42</v>
      </c>
      <c r="C14" s="12">
        <v>0</v>
      </c>
      <c r="D14" s="3" t="s">
        <v>43</v>
      </c>
      <c r="E14" s="13">
        <v>179.95</v>
      </c>
      <c r="F14" s="8"/>
      <c r="G14" s="14"/>
      <c r="H14" s="8"/>
      <c r="I14" s="14"/>
      <c r="J14" s="8"/>
      <c r="K14" s="16"/>
      <c r="L14" s="8"/>
      <c r="M14" s="14"/>
      <c r="N14" s="8"/>
      <c r="O14" s="14"/>
      <c r="P14" s="4"/>
      <c r="Q14" s="14"/>
    </row>
    <row r="15" spans="1:17" ht="15.75">
      <c r="A15" s="2">
        <v>8</v>
      </c>
      <c r="B15" s="3" t="s">
        <v>44</v>
      </c>
      <c r="C15" s="12">
        <v>0</v>
      </c>
      <c r="D15" s="3" t="s">
        <v>45</v>
      </c>
      <c r="E15" s="13">
        <v>100</v>
      </c>
      <c r="F15" s="8"/>
      <c r="G15" s="14"/>
      <c r="H15" s="8"/>
      <c r="I15" s="14"/>
      <c r="J15" s="8"/>
      <c r="K15" s="16"/>
      <c r="L15" s="8"/>
      <c r="M15" s="14"/>
      <c r="N15" s="8"/>
      <c r="O15" s="14"/>
      <c r="P15" s="4"/>
      <c r="Q15" s="14"/>
    </row>
    <row r="16" spans="1:17" ht="15.75">
      <c r="A16" s="2">
        <v>9</v>
      </c>
      <c r="B16" s="3" t="s">
        <v>46</v>
      </c>
      <c r="C16" s="12">
        <v>0</v>
      </c>
      <c r="D16" s="3"/>
      <c r="E16" s="13"/>
      <c r="F16" s="8"/>
      <c r="G16" s="14"/>
      <c r="H16" s="8"/>
      <c r="I16" s="14"/>
      <c r="J16" s="8"/>
      <c r="K16" s="16"/>
      <c r="L16" s="8"/>
      <c r="M16" s="14"/>
      <c r="N16" s="8"/>
      <c r="O16" s="14"/>
      <c r="P16" s="4"/>
      <c r="Q16" s="14"/>
    </row>
    <row r="17" spans="1:17" ht="15.75">
      <c r="A17" s="4"/>
      <c r="B17" s="5" t="s">
        <v>47</v>
      </c>
      <c r="C17" s="32">
        <f>SUM(C8:C16)</f>
        <v>0</v>
      </c>
      <c r="D17" s="5" t="s">
        <v>47</v>
      </c>
      <c r="E17" s="28">
        <f>SUM(E9:E16)</f>
        <v>364.95</v>
      </c>
      <c r="F17" s="5" t="s">
        <v>47</v>
      </c>
      <c r="G17" s="29">
        <f>SUM(G8:G16)</f>
        <v>53.75</v>
      </c>
      <c r="H17" s="5" t="s">
        <v>47</v>
      </c>
      <c r="I17" s="29">
        <f>SUM(I8:I16)</f>
        <v>50</v>
      </c>
      <c r="J17" s="5" t="s">
        <v>47</v>
      </c>
      <c r="K17" s="30"/>
      <c r="L17" s="5" t="s">
        <v>47</v>
      </c>
      <c r="M17" s="29">
        <f>SUM(M8:M16)</f>
        <v>615</v>
      </c>
      <c r="N17" s="5" t="s">
        <v>47</v>
      </c>
      <c r="O17" s="29">
        <f>SUM(O9:O16)</f>
        <v>0</v>
      </c>
      <c r="P17" s="5" t="s">
        <v>47</v>
      </c>
      <c r="Q17" s="29">
        <f>SUM(Q8:Q16)</f>
        <v>240</v>
      </c>
    </row>
    <row r="22" spans="1:17">
      <c r="D22" s="31"/>
    </row>
    <row r="23" spans="1:17">
      <c r="C23" s="1"/>
    </row>
    <row r="24" spans="1:17">
      <c r="E24" s="1"/>
    </row>
    <row r="29" spans="1:17">
      <c r="G29" s="7"/>
    </row>
  </sheetData>
  <mergeCells count="17">
    <mergeCell ref="N7:O7"/>
    <mergeCell ref="P7:Q7"/>
    <mergeCell ref="A7:C7"/>
    <mergeCell ref="D7:E7"/>
    <mergeCell ref="F7:G7"/>
    <mergeCell ref="H7:I7"/>
    <mergeCell ref="J7:K7"/>
    <mergeCell ref="L7:M7"/>
    <mergeCell ref="A1:Q1"/>
    <mergeCell ref="A6:C6"/>
    <mergeCell ref="D6:E6"/>
    <mergeCell ref="F6:G6"/>
    <mergeCell ref="H6:I6"/>
    <mergeCell ref="J6:K6"/>
    <mergeCell ref="L6:M6"/>
    <mergeCell ref="N6:O6"/>
    <mergeCell ref="P6:Q6"/>
  </mergeCells>
  <conditionalFormatting sqref="C4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2CC8-6B17-490C-9E38-58469F751788}">
  <dimension ref="A1:F12"/>
  <sheetViews>
    <sheetView workbookViewId="0">
      <selection activeCell="J14" sqref="J14"/>
    </sheetView>
  </sheetViews>
  <sheetFormatPr defaultRowHeight="15"/>
  <cols>
    <col min="1" max="1" width="18.85546875" customWidth="1"/>
    <col min="2" max="2" width="15.140625" bestFit="1" customWidth="1"/>
    <col min="3" max="3" width="12.28515625" customWidth="1"/>
    <col min="4" max="4" width="10.7109375" customWidth="1"/>
    <col min="5" max="5" width="17.28515625" bestFit="1" customWidth="1"/>
    <col min="6" max="6" width="17" bestFit="1" customWidth="1"/>
  </cols>
  <sheetData>
    <row r="1" spans="1:6" ht="15.75">
      <c r="A1" s="21" t="s">
        <v>50</v>
      </c>
      <c r="B1" s="21" t="s">
        <v>51</v>
      </c>
      <c r="C1" s="21" t="s">
        <v>52</v>
      </c>
      <c r="D1" s="24" t="s">
        <v>53</v>
      </c>
      <c r="E1" s="36" t="s">
        <v>54</v>
      </c>
      <c r="F1" s="23" t="s">
        <v>55</v>
      </c>
    </row>
    <row r="2" spans="1:6" ht="15.75">
      <c r="A2" s="3" t="s">
        <v>6</v>
      </c>
      <c r="B2" s="14">
        <f>Orçamento_Março!G17</f>
        <v>53.75</v>
      </c>
      <c r="C2" s="14"/>
      <c r="D2" s="25"/>
      <c r="E2" s="37">
        <f t="shared" ref="E2:E9" si="0">SUM(B2:D2)</f>
        <v>53.75</v>
      </c>
      <c r="F2" s="14">
        <f t="shared" ref="F2:F9" si="1">AVERAGE(B2:D2)</f>
        <v>53.75</v>
      </c>
    </row>
    <row r="3" spans="1:6" ht="15.75">
      <c r="A3" s="3" t="s">
        <v>9</v>
      </c>
      <c r="B3" s="14">
        <f>Orçamento_Março!M17</f>
        <v>696</v>
      </c>
      <c r="C3" s="14"/>
      <c r="D3" s="25"/>
      <c r="E3" s="25">
        <f t="shared" si="0"/>
        <v>696</v>
      </c>
      <c r="F3" s="14">
        <f t="shared" si="1"/>
        <v>696</v>
      </c>
    </row>
    <row r="4" spans="1:6" ht="15.75">
      <c r="A4" s="3" t="s">
        <v>11</v>
      </c>
      <c r="B4" s="14">
        <f>Orçamento_Março!Q17</f>
        <v>280</v>
      </c>
      <c r="C4" s="14"/>
      <c r="D4" s="25"/>
      <c r="E4" s="25">
        <f t="shared" si="0"/>
        <v>280</v>
      </c>
      <c r="F4" s="14">
        <f t="shared" si="1"/>
        <v>280</v>
      </c>
    </row>
    <row r="5" spans="1:6" ht="15.75">
      <c r="A5" s="3" t="s">
        <v>10</v>
      </c>
      <c r="B5" s="14">
        <f>Orçamento_Março!O17</f>
        <v>119.8</v>
      </c>
      <c r="C5" s="14"/>
      <c r="D5" s="25"/>
      <c r="E5" s="25">
        <f t="shared" si="0"/>
        <v>119.8</v>
      </c>
      <c r="F5" s="14">
        <f t="shared" si="1"/>
        <v>119.8</v>
      </c>
    </row>
    <row r="6" spans="1:6" ht="15.75">
      <c r="A6" s="22" t="s">
        <v>4</v>
      </c>
      <c r="B6" s="14">
        <f>Orçamento_Março!C17</f>
        <v>0</v>
      </c>
      <c r="C6" s="14">
        <f>Orçamento_Abril!C17</f>
        <v>0</v>
      </c>
      <c r="D6" s="25"/>
      <c r="E6" s="25">
        <f t="shared" si="0"/>
        <v>0</v>
      </c>
      <c r="F6" s="14">
        <f t="shared" si="1"/>
        <v>0</v>
      </c>
    </row>
    <row r="7" spans="1:6" ht="15.75">
      <c r="A7" s="3" t="s">
        <v>5</v>
      </c>
      <c r="B7" s="14">
        <f>Orçamento_Março!E17</f>
        <v>364.95</v>
      </c>
      <c r="C7" s="14">
        <f>Orçamento_Abril!E17</f>
        <v>364.95</v>
      </c>
      <c r="D7" s="25"/>
      <c r="E7" s="25">
        <f t="shared" si="0"/>
        <v>729.9</v>
      </c>
      <c r="F7" s="14">
        <f t="shared" si="1"/>
        <v>364.95</v>
      </c>
    </row>
    <row r="8" spans="1:6" ht="15.75">
      <c r="A8" s="3" t="s">
        <v>7</v>
      </c>
      <c r="B8" s="14">
        <f>Orçamento_Março!I17</f>
        <v>250</v>
      </c>
      <c r="C8" s="14"/>
      <c r="D8" s="25"/>
      <c r="E8" s="25">
        <f t="shared" si="0"/>
        <v>250</v>
      </c>
      <c r="F8" s="14">
        <f t="shared" si="1"/>
        <v>250</v>
      </c>
    </row>
    <row r="9" spans="1:6" ht="15.75">
      <c r="A9" s="3" t="s">
        <v>8</v>
      </c>
      <c r="B9" s="14">
        <f>Orçamento_Março!K17</f>
        <v>0</v>
      </c>
      <c r="C9" s="14"/>
      <c r="D9" s="25"/>
      <c r="E9" s="25">
        <f t="shared" si="0"/>
        <v>0</v>
      </c>
      <c r="F9" s="14">
        <f t="shared" si="1"/>
        <v>0</v>
      </c>
    </row>
    <row r="10" spans="1:6" ht="15.75">
      <c r="A10" s="21" t="s">
        <v>54</v>
      </c>
      <c r="B10" s="26">
        <f>SUM(B2:B9)</f>
        <v>1764.5</v>
      </c>
      <c r="C10" s="26">
        <f>SUM(C2:C9)</f>
        <v>364.95</v>
      </c>
      <c r="D10" s="27"/>
      <c r="E10" s="27">
        <f>SUM(B10:C10:D10)</f>
        <v>2129.4499999999998</v>
      </c>
      <c r="F10" s="26">
        <f>SUM(F2:F9)</f>
        <v>1764.5</v>
      </c>
    </row>
    <row r="11" spans="1:6" ht="15.75">
      <c r="F11" s="38">
        <f>MAX(F2:F9)</f>
        <v>696</v>
      </c>
    </row>
    <row r="12" spans="1:6" ht="15.75">
      <c r="F12" s="38">
        <f>MIN(F2:F9)</f>
        <v>0</v>
      </c>
    </row>
  </sheetData>
  <sortState xmlns:xlrd2="http://schemas.microsoft.com/office/spreadsheetml/2017/richdata2" ref="A2:F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2026-03-03T18:17:36Z</dcterms:created>
  <dcterms:modified xsi:type="dcterms:W3CDTF">2026-03-12T02:35:39Z</dcterms:modified>
  <cp:category/>
  <cp:contentStatus/>
</cp:coreProperties>
</file>